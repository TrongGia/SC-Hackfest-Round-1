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Sô_la_mviê_cNa_y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efd20ec4db52d1/Project/"/>
    </mc:Choice>
  </mc:AlternateContent>
  <xr:revisionPtr revIDLastSave="224" documentId="13_ncr:1_{9CBE702D-78EC-490F-AE82-6B5D1A5E62E8}" xr6:coauthVersionLast="47" xr6:coauthVersionMax="47" xr10:uidLastSave="{ECCE123C-BD83-438F-BCB4-641D8E1AD9E8}"/>
  <bookViews>
    <workbookView xWindow="-108" yWindow="-108" windowWidth="23256" windowHeight="12576" activeTab="1" xr2:uid="{945AC372-44D3-4EC8-9156-23554AE5EFC5}"/>
  </bookViews>
  <sheets>
    <sheet name="Given Data" sheetId="4" r:id="rId1"/>
    <sheet name="Calculate" sheetId="5" r:id="rId2"/>
    <sheet name="hang_thieu" sheetId="3" r:id="rId3"/>
    <sheet name="hang_huy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5" l="1"/>
  <c r="D19" i="5"/>
  <c r="D20" i="5"/>
  <c r="D12" i="5"/>
  <c r="D13" i="5"/>
  <c r="D14" i="5"/>
  <c r="G5" i="5" a="1"/>
  <c r="G5" i="5" s="1"/>
  <c r="D5" i="5" a="1"/>
  <c r="D11" i="5"/>
  <c r="F11" i="5" s="1" a="1"/>
  <c r="F11" i="5" s="1"/>
  <c r="G17" i="5" a="1"/>
  <c r="G17" i="5" s="1"/>
  <c r="G11" i="5" a="1"/>
  <c r="G11" i="5" s="1"/>
  <c r="D5" i="5" l="1"/>
  <c r="I5" i="5"/>
  <c r="H5" i="5"/>
  <c r="D17" i="5"/>
  <c r="J5" i="5" l="1"/>
  <c r="K5" i="5" s="1"/>
  <c r="F17" i="5" a="1"/>
  <c r="F17" i="5" s="1"/>
  <c r="I7" i="5"/>
  <c r="I8" i="5"/>
  <c r="I6" i="5"/>
  <c r="H8" i="5"/>
  <c r="H7" i="5"/>
  <c r="H6" i="5"/>
  <c r="O5" i="5" l="1" a="1"/>
  <c r="O5" i="5" s="1"/>
  <c r="L5" i="5"/>
  <c r="J6" i="5" l="1"/>
  <c r="K6" i="5" s="1"/>
  <c r="Q11" i="5"/>
  <c r="P11" i="5"/>
  <c r="O11" i="5"/>
  <c r="J7" i="5" l="1"/>
  <c r="J8" i="5" s="1"/>
  <c r="K7" i="5" l="1"/>
  <c r="K8" i="5"/>
  <c r="E11" i="5" s="1" a="1"/>
  <c r="E11" i="5" s="1"/>
  <c r="H11" i="5" l="1"/>
  <c r="H13" i="5"/>
  <c r="H12" i="5"/>
  <c r="I13" i="5"/>
  <c r="H14" i="5"/>
  <c r="I11" i="5"/>
  <c r="I14" i="5"/>
  <c r="I12" i="5"/>
  <c r="O6" i="5" l="1" a="1"/>
  <c r="O6" i="5" s="1"/>
  <c r="L11" i="5"/>
  <c r="P12" i="5" s="1"/>
  <c r="J11" i="5"/>
  <c r="K11" i="5" s="1"/>
  <c r="O12" i="5" l="1"/>
  <c r="Q12" i="5"/>
  <c r="J12" i="5"/>
  <c r="K12" i="5" s="1"/>
  <c r="J13" i="5" l="1"/>
  <c r="K13" i="5" s="1"/>
  <c r="J14" i="5" l="1"/>
  <c r="K14" i="5" s="1"/>
  <c r="E17" i="5" s="1" a="1"/>
  <c r="E17" i="5" s="1"/>
  <c r="H18" i="5" l="1"/>
  <c r="I20" i="5"/>
  <c r="I18" i="5"/>
  <c r="I19" i="5"/>
  <c r="H20" i="5"/>
  <c r="H19" i="5"/>
  <c r="I17" i="5"/>
  <c r="J17" i="5" s="1"/>
  <c r="K17" i="5" s="1"/>
  <c r="H17" i="5"/>
  <c r="O7" i="5" l="1" a="1"/>
  <c r="O7" i="5" s="1"/>
  <c r="L17" i="5"/>
  <c r="P13" i="5" s="1"/>
  <c r="J18" i="5"/>
  <c r="K18" i="5" s="1"/>
  <c r="O13" i="5" l="1"/>
  <c r="Q13" i="5"/>
  <c r="J19" i="5"/>
  <c r="K19" i="5" s="1"/>
  <c r="J20" i="5" l="1"/>
  <c r="K20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<sst xmlns="http://schemas.openxmlformats.org/spreadsheetml/2006/main" count="75" uniqueCount="30">
  <si>
    <t>Nguyên liệu</t>
  </si>
  <si>
    <t>Số lượng</t>
  </si>
  <si>
    <t>Hạn sử dụng</t>
  </si>
  <si>
    <t>A1</t>
  </si>
  <si>
    <t>A2</t>
  </si>
  <si>
    <t>B1</t>
  </si>
  <si>
    <t>B2</t>
  </si>
  <si>
    <t>B3</t>
  </si>
  <si>
    <t>Pick</t>
  </si>
  <si>
    <t>Thiếu</t>
  </si>
  <si>
    <t xml:space="preserve">Nguyên liệu </t>
  </si>
  <si>
    <t>Số lượng hàng huỷ</t>
  </si>
  <si>
    <t>HSD tương ứng</t>
  </si>
  <si>
    <t>Bị thiếu vào ngày</t>
  </si>
  <si>
    <t>Thành phẩm</t>
  </si>
  <si>
    <t>12-Jul-2022</t>
  </si>
  <si>
    <t>13-Jul-2022</t>
  </si>
  <si>
    <t>14-Jul-2022</t>
  </si>
  <si>
    <t>A</t>
  </si>
  <si>
    <t>B</t>
  </si>
  <si>
    <t xml:space="preserve">Số lượng hàng thiếu theo nguyên liệu </t>
  </si>
  <si>
    <t>Số lượng hàng huỷ theo nguyên liệu</t>
  </si>
  <si>
    <t>Chọn nguyên liệu</t>
  </si>
  <si>
    <t>Stock on hand vào cuối ngày 11/7/2022</t>
  </si>
  <si>
    <t xml:space="preserve"> Dự đoán nhu cầu cho 2 món A và B trong giai đoạn từ ngày 12/7 - 14/7</t>
  </si>
  <si>
    <t>Số lượng sẽ thiếu</t>
  </si>
  <si>
    <t>Tồn kho sau khi sử dụng</t>
  </si>
  <si>
    <t>Số lượng hàng có thể sử dụng</t>
  </si>
  <si>
    <t>Số lượng hàng hết hsd</t>
  </si>
  <si>
    <t>Demand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</si>
</sst>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\-mmm\-yyyy"/>
    <numFmt numFmtId="165" formatCode="[$-409]d\-mmm\-yyyy;@"/>
    <numFmt numFmtId="166" formatCode="\ 0;\-0;;@"/>
  </numFmts>
  <fonts count="14" x14ac:knownFonts="1"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rgb="FF000000"/>
      <name val="Calibri"/>
      <family val="2"/>
      <scheme val="minor"/>
    </font>
    <font>
      <b/>
      <sz val="12"/>
      <color rgb="FF000000"/>
      <name val="Montserrat"/>
    </font>
    <font>
      <sz val="12"/>
      <color rgb="FF000000"/>
      <name val="Montserrat"/>
    </font>
    <font>
      <b/>
      <sz val="11"/>
      <color theme="0"/>
      <name val="Arial"/>
      <family val="2"/>
    </font>
    <font>
      <b/>
      <sz val="15"/>
      <color theme="1"/>
      <name val="Calibri"/>
      <family val="2"/>
      <scheme val="minor"/>
    </font>
    <font>
      <b/>
      <sz val="15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0000"/>
        <bgColor theme="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165" fontId="0" fillId="0" borderId="0" xfId="0" applyNumberFormat="1"/>
    <xf numFmtId="166" fontId="0" fillId="4" borderId="10" xfId="0" applyNumberFormat="1" applyFill="1" applyBorder="1"/>
    <xf numFmtId="166" fontId="0" fillId="4" borderId="3" xfId="0" applyNumberFormat="1" applyFill="1" applyBorder="1"/>
    <xf numFmtId="166" fontId="0" fillId="4" borderId="11" xfId="0" applyNumberFormat="1" applyFill="1" applyBorder="1"/>
    <xf numFmtId="166" fontId="0" fillId="0" borderId="7" xfId="0" applyNumberFormat="1" applyBorder="1"/>
    <xf numFmtId="166" fontId="0" fillId="0" borderId="8" xfId="0" applyNumberFormat="1" applyBorder="1"/>
    <xf numFmtId="166" fontId="0" fillId="0" borderId="9" xfId="0" applyNumberFormat="1" applyBorder="1"/>
    <xf numFmtId="166" fontId="0" fillId="4" borderId="7" xfId="0" applyNumberFormat="1" applyFill="1" applyBorder="1"/>
    <xf numFmtId="166" fontId="0" fillId="4" borderId="8" xfId="0" applyNumberFormat="1" applyFill="1" applyBorder="1"/>
    <xf numFmtId="166" fontId="0" fillId="4" borderId="9" xfId="0" applyNumberFormat="1" applyFill="1" applyBorder="1"/>
    <xf numFmtId="166" fontId="0" fillId="4" borderId="4" xfId="0" applyNumberFormat="1" applyFill="1" applyBorder="1"/>
    <xf numFmtId="166" fontId="0" fillId="4" borderId="5" xfId="0" applyNumberFormat="1" applyFill="1" applyBorder="1"/>
    <xf numFmtId="166" fontId="0" fillId="4" borderId="6" xfId="0" applyNumberFormat="1" applyFill="1" applyBorder="1"/>
    <xf numFmtId="0" fontId="2" fillId="0" borderId="0" xfId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6" fillId="3" borderId="1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4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vertical="center" wrapText="1"/>
    </xf>
    <xf numFmtId="0" fontId="7" fillId="0" borderId="0" xfId="0" applyFont="1"/>
    <xf numFmtId="0" fontId="1" fillId="0" borderId="17" xfId="0" applyFont="1" applyBorder="1" applyAlignment="1">
      <alignment horizontal="center" wrapText="1"/>
    </xf>
    <xf numFmtId="164" fontId="1" fillId="0" borderId="17" xfId="0" applyNumberFormat="1" applyFont="1" applyBorder="1" applyAlignment="1">
      <alignment horizontal="center" wrapText="1"/>
    </xf>
    <xf numFmtId="0" fontId="2" fillId="0" borderId="14" xfId="0" applyFont="1" applyBorder="1" applyAlignment="1">
      <alignment horizontal="center" vertical="center" wrapText="1"/>
    </xf>
    <xf numFmtId="164" fontId="2" fillId="0" borderId="15" xfId="0" applyNumberFormat="1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4" fontId="2" fillId="0" borderId="2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1" fillId="0" borderId="24" xfId="0" applyNumberFormat="1" applyFont="1" applyBorder="1" applyAlignment="1">
      <alignment horizontal="center" wrapText="1"/>
    </xf>
    <xf numFmtId="164" fontId="1" fillId="0" borderId="25" xfId="0" applyNumberFormat="1" applyFont="1" applyBorder="1" applyAlignment="1">
      <alignment horizontal="right" vertical="center" wrapText="1"/>
    </xf>
    <xf numFmtId="0" fontId="0" fillId="0" borderId="30" xfId="0" applyBorder="1"/>
    <xf numFmtId="165" fontId="0" fillId="0" borderId="1" xfId="0" applyNumberFormat="1" applyBorder="1"/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25" xfId="0" applyFont="1" applyBorder="1" applyAlignment="1">
      <alignment horizontal="center" vertical="center"/>
    </xf>
    <xf numFmtId="0" fontId="9" fillId="0" borderId="1" xfId="0" applyFont="1" applyBorder="1"/>
    <xf numFmtId="0" fontId="9" fillId="0" borderId="26" xfId="0" applyFont="1" applyBorder="1"/>
    <xf numFmtId="0" fontId="9" fillId="0" borderId="27" xfId="0" applyFont="1" applyBorder="1" applyAlignment="1">
      <alignment horizontal="center" vertical="center"/>
    </xf>
    <xf numFmtId="0" fontId="9" fillId="0" borderId="28" xfId="0" applyFont="1" applyBorder="1"/>
    <xf numFmtId="0" fontId="9" fillId="0" borderId="29" xfId="0" applyFont="1" applyBorder="1"/>
    <xf numFmtId="0" fontId="8" fillId="0" borderId="1" xfId="0" applyFont="1" applyBorder="1" applyAlignment="1">
      <alignment horizontal="center"/>
    </xf>
    <xf numFmtId="0" fontId="10" fillId="6" borderId="1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8" borderId="1" xfId="0" applyFont="1" applyFill="1" applyBorder="1" applyAlignment="1">
      <alignment horizontal="center"/>
    </xf>
    <xf numFmtId="165" fontId="6" fillId="8" borderId="1" xfId="0" applyNumberFormat="1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165" fontId="6" fillId="9" borderId="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</cellXfs>
  <cellStyles count="2">
    <cellStyle name="Bình thường" xfId="0" builtinId="0"/>
    <cellStyle name="Bình thường 3" xfId="1" xr:uid="{3C9526DC-C67F-425C-9009-B04A601AE11F}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d\-mmm\-yy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d\-mmm\-yyyy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64" formatCode="d\-mmm\-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316705</xdr:colOff>
      <xdr:row>0</xdr:row>
      <xdr:rowOff>163085</xdr:rowOff>
    </xdr:from>
    <xdr:to>
      <xdr:col>1</xdr:col>
      <xdr:colOff>514215</xdr:colOff>
      <xdr:row>3</xdr:row>
      <xdr:rowOff>26248</xdr:rowOff>
    </xdr:to>
    <xdr:sp macro="[0]!hang_thieu" textlink="">
      <xdr:nvSpPr>
        <xdr:cNvPr id="7" name="Hình chữ nhật 6">
          <a:extLst>
            <a:ext uri="{FF2B5EF4-FFF2-40B4-BE49-F238E27FC236}">
              <a16:creationId xmlns:a16="http://schemas.microsoft.com/office/drawing/2014/main" id="{2822FD4D-2825-FAD1-7D3A-0E82CD82AE00}"/>
            </a:ext>
          </a:extLst>
        </xdr:cNvPr>
        <xdr:cNvSpPr>
          <a:spLocks/>
        </xdr:cNvSpPr>
      </xdr:nvSpPr>
      <xdr:spPr>
        <a:xfrm>
          <a:off x="316705" y="163085"/>
          <a:ext cx="842969" cy="4053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606857</xdr:colOff>
      <xdr:row>1</xdr:row>
      <xdr:rowOff>14630</xdr:rowOff>
    </xdr:from>
    <xdr:to>
      <xdr:col>1</xdr:col>
      <xdr:colOff>782726</xdr:colOff>
      <xdr:row>2</xdr:row>
      <xdr:rowOff>131673</xdr:rowOff>
    </xdr:to>
    <xdr:sp macro="[0]!hang_huy" textlink="">
      <xdr:nvSpPr>
        <xdr:cNvPr id="3" name="Hình chữ nhật 2">
          <a:extLst>
            <a:ext uri="{FF2B5EF4-FFF2-40B4-BE49-F238E27FC236}">
              <a16:creationId xmlns:a16="http://schemas.microsoft.com/office/drawing/2014/main" id="{90038E44-EEDE-9F1F-CE5F-7B90980571E2}"/>
            </a:ext>
          </a:extLst>
        </xdr:cNvPr>
        <xdr:cNvSpPr/>
      </xdr:nvSpPr>
      <xdr:spPr>
        <a:xfrm>
          <a:off x="614477" y="197510"/>
          <a:ext cx="811987" cy="29992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623080-01D0-4C04-B23B-E4AAF9315CFB}" name="Table1" displayName="Table1" ref="B2:F7" totalsRowShown="0" headerRowDxfId="9" dataDxfId="8" headerRowBorderDxfId="6" tableBorderDxfId="7" totalsRowBorderDxfId="5">
  <autoFilter ref="B2:F7" xr:uid="{BF623080-01D0-4C04-B23B-E4AAF9315CFB}"/>
  <tableColumns count="5">
    <tableColumn id="1" xr3:uid="{90F5CB06-E9BA-43F5-AEAB-5DBA61CB13A8}" name="Thành phẩm" dataDxfId="4"/>
    <tableColumn id="2" xr3:uid="{42DB3D65-DE97-475A-AA7A-83755DCBC35C}" name="Nguyên liệu" dataDxfId="3"/>
    <tableColumn id="3" xr3:uid="{266C7E9F-DA37-4118-84B6-496C89F1AB53}" name="12-Jul-2022" dataDxfId="2"/>
    <tableColumn id="4" xr3:uid="{9BC87FBA-2004-45C8-A748-4857EB36BD74}" name="13-Jul-2022" dataDxfId="1"/>
    <tableColumn id="5" xr3:uid="{BB2AF4E2-EB78-4EC9-A9C1-D5961E61D1C4}" name="14-Jul-2022" dataDxfId="0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C05272-7123-41FC-9178-7B17C2F8B00B}" name="Table3" displayName="Table3" ref="H2:J14" totalsRowShown="0" headerRowDxfId="28" headerRowBorderDxfId="27" tableBorderDxfId="26" totalsRowBorderDxfId="25">
  <autoFilter ref="H2:J14" xr:uid="{4CC05272-7123-41FC-9178-7B17C2F8B00B}"/>
  <tableColumns count="3">
    <tableColumn id="1" xr3:uid="{18E083D0-E726-4436-88A7-A32E7278D793}" name="Nguyên liệu" dataDxfId="24"/>
    <tableColumn id="2" xr3:uid="{301BFDD2-70F6-40A1-BD85-1CC1DAA4E02A}" name="Số lượng" dataDxfId="23"/>
    <tableColumn id="3" xr3:uid="{163A2B3A-26F0-4E84-AA47-576BE48FCC1D}" name="Hạn sử dụng" dataDxfId="22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C3D57D-FBE2-4F5B-8234-3134B65D01AC}" name="Table4" displayName="Table4" ref="K4:K8" totalsRowShown="0" headerRowDxfId="17" dataDxfId="16" tableBorderDxfId="21">
  <autoFilter ref="K4:K8" xr:uid="{EFC3D57D-FBE2-4F5B-8234-3134B65D01AC}"/>
  <tableColumns count="1">
    <tableColumn id="1" xr3:uid="{43BE641E-AFE6-43E3-98BE-94C6EFE7A945}" name="Tồn kho sau khi sử dụng" dataDxfId="18">
      <calculatedColumnFormula>IF(I5-J5&gt;=0,I5-J5,0)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4F5228-0CD7-4EC0-94BD-8C26F5162C00}" name="Table5" displayName="Table5" ref="K10:K14" totalsRowShown="0" headerRowDxfId="14" dataDxfId="13" tableBorderDxfId="20">
  <autoFilter ref="K10:K14" xr:uid="{BA4F5228-0CD7-4EC0-94BD-8C26F5162C00}"/>
  <tableColumns count="1">
    <tableColumn id="1" xr3:uid="{9E127818-C004-491C-9463-CEEDB93D0464}" name="Tồn kho sau khi sử dụng" dataDxfId="15">
      <calculatedColumnFormula>IF(I11-J11&gt;=0,I11-J11,0)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CD0D63-8563-4A60-8320-EADA65319005}" name="Table6" displayName="Table6" ref="K16:K20" totalsRowShown="0" headerRowDxfId="11" dataDxfId="10" tableBorderDxfId="19">
  <autoFilter ref="K16:K20" xr:uid="{04CD0D63-8563-4A60-8320-EADA65319005}"/>
  <tableColumns count="1">
    <tableColumn id="1" xr3:uid="{1F83DE81-54B2-4524-B959-72CE64FA0F25}" name="Tồn kho sau khi sử dụng" dataDxfId="12">
      <calculatedColumnFormula>IF(I17-J17&gt;=0,I17-J17,0)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A93AB-BF9B-48C3-99B3-EE32B60D9915}">
  <sheetPr codeName="Trang_tính4">
    <tabColor theme="7"/>
  </sheetPr>
  <dimension ref="A1:AH46"/>
  <sheetViews>
    <sheetView showGridLines="0" zoomScaleNormal="100" workbookViewId="0">
      <selection activeCell="F26" sqref="F26"/>
    </sheetView>
  </sheetViews>
  <sheetFormatPr defaultRowHeight="14.4" x14ac:dyDescent="0.3"/>
  <cols>
    <col min="1" max="1" width="9.5546875" customWidth="1"/>
    <col min="2" max="2" width="17" customWidth="1"/>
    <col min="3" max="3" width="16.33203125" customWidth="1"/>
    <col min="4" max="5" width="15.109375" customWidth="1"/>
    <col min="6" max="6" width="35.109375" customWidth="1"/>
    <col min="7" max="7" width="13.5546875" customWidth="1"/>
    <col min="8" max="8" width="16.33203125" customWidth="1"/>
    <col min="9" max="9" width="13.44140625" customWidth="1"/>
    <col min="10" max="10" width="27.88671875" customWidth="1"/>
    <col min="11" max="13" width="13.44140625" customWidth="1"/>
    <col min="14" max="14" width="14.109375" customWidth="1"/>
    <col min="15" max="15" width="19.44140625" customWidth="1"/>
    <col min="16" max="16" width="18.6640625" customWidth="1"/>
  </cols>
  <sheetData>
    <row r="1" spans="1:34" ht="19.8" x14ac:dyDescent="0.4">
      <c r="A1" s="16"/>
      <c r="B1" s="46" t="s">
        <v>24</v>
      </c>
      <c r="C1" s="47"/>
      <c r="D1" s="47"/>
      <c r="E1" s="47"/>
      <c r="F1" s="48"/>
      <c r="G1" s="28"/>
      <c r="H1" s="55" t="s">
        <v>23</v>
      </c>
      <c r="I1" s="55"/>
      <c r="J1" s="55"/>
      <c r="K1" s="29"/>
      <c r="L1" s="29"/>
    </row>
    <row r="2" spans="1:34" ht="13.35" customHeight="1" x14ac:dyDescent="0.3">
      <c r="A2" s="15"/>
      <c r="B2" s="43" t="s">
        <v>14</v>
      </c>
      <c r="C2" s="30" t="s">
        <v>0</v>
      </c>
      <c r="D2" s="31" t="s">
        <v>15</v>
      </c>
      <c r="E2" s="31" t="s">
        <v>16</v>
      </c>
      <c r="F2" s="42" t="s">
        <v>17</v>
      </c>
      <c r="H2" s="34" t="s">
        <v>0</v>
      </c>
      <c r="I2" s="35" t="s">
        <v>1</v>
      </c>
      <c r="J2" s="36" t="s">
        <v>2</v>
      </c>
    </row>
    <row r="3" spans="1:34" ht="15.6" x14ac:dyDescent="0.3">
      <c r="A3" s="15"/>
      <c r="B3" s="49" t="s">
        <v>18</v>
      </c>
      <c r="C3" s="50" t="s">
        <v>3</v>
      </c>
      <c r="D3" s="50">
        <v>5</v>
      </c>
      <c r="E3" s="50">
        <v>1</v>
      </c>
      <c r="F3" s="51">
        <v>7</v>
      </c>
      <c r="H3" s="32" t="s">
        <v>3</v>
      </c>
      <c r="I3" s="24">
        <v>4</v>
      </c>
      <c r="J3" s="33">
        <v>44756</v>
      </c>
    </row>
    <row r="4" spans="1:34" ht="15.6" x14ac:dyDescent="0.3">
      <c r="A4" s="15"/>
      <c r="B4" s="49"/>
      <c r="C4" s="50" t="s">
        <v>4</v>
      </c>
      <c r="D4" s="50">
        <v>10</v>
      </c>
      <c r="E4" s="50">
        <v>2</v>
      </c>
      <c r="F4" s="51">
        <v>14</v>
      </c>
      <c r="H4" s="32" t="s">
        <v>3</v>
      </c>
      <c r="I4" s="24">
        <v>7</v>
      </c>
      <c r="J4" s="33">
        <v>44762</v>
      </c>
    </row>
    <row r="5" spans="1:34" ht="15.6" x14ac:dyDescent="0.3">
      <c r="A5" s="15"/>
      <c r="B5" s="49" t="s">
        <v>19</v>
      </c>
      <c r="C5" s="50" t="s">
        <v>5</v>
      </c>
      <c r="D5" s="50">
        <v>15</v>
      </c>
      <c r="E5" s="50">
        <v>10</v>
      </c>
      <c r="F5" s="51">
        <v>13</v>
      </c>
      <c r="H5" s="32" t="s">
        <v>3</v>
      </c>
      <c r="I5" s="24">
        <v>5</v>
      </c>
      <c r="J5" s="33">
        <v>44772</v>
      </c>
    </row>
    <row r="6" spans="1:34" ht="15.6" x14ac:dyDescent="0.3">
      <c r="A6" s="15"/>
      <c r="B6" s="49"/>
      <c r="C6" s="50" t="s">
        <v>6</v>
      </c>
      <c r="D6" s="50">
        <v>15</v>
      </c>
      <c r="E6" s="50">
        <v>10</v>
      </c>
      <c r="F6" s="51">
        <v>13</v>
      </c>
      <c r="H6" s="32" t="s">
        <v>4</v>
      </c>
      <c r="I6" s="24">
        <v>10</v>
      </c>
      <c r="J6" s="33">
        <v>44754</v>
      </c>
      <c r="AF6" s="17"/>
      <c r="AG6" s="17"/>
      <c r="AH6" s="18"/>
    </row>
    <row r="7" spans="1:34" ht="16.2" thickBot="1" x14ac:dyDescent="0.35">
      <c r="A7" s="14"/>
      <c r="B7" s="52"/>
      <c r="C7" s="53" t="s">
        <v>7</v>
      </c>
      <c r="D7" s="53">
        <v>15</v>
      </c>
      <c r="E7" s="53">
        <v>30</v>
      </c>
      <c r="F7" s="54">
        <v>39</v>
      </c>
      <c r="H7" s="32" t="s">
        <v>4</v>
      </c>
      <c r="I7" s="24">
        <v>30</v>
      </c>
      <c r="J7" s="33">
        <v>44756</v>
      </c>
      <c r="AF7" s="2"/>
      <c r="AG7" s="3"/>
      <c r="AH7" s="4"/>
    </row>
    <row r="8" spans="1:34" ht="15.6" x14ac:dyDescent="0.3">
      <c r="A8" s="14"/>
      <c r="B8" s="44"/>
      <c r="E8" s="20"/>
      <c r="F8" s="20"/>
      <c r="G8" s="20"/>
      <c r="H8" s="32" t="s">
        <v>5</v>
      </c>
      <c r="I8" s="24">
        <v>2</v>
      </c>
      <c r="J8" s="33">
        <v>44762</v>
      </c>
      <c r="AF8" s="5"/>
      <c r="AG8" s="6"/>
      <c r="AH8" s="7"/>
    </row>
    <row r="9" spans="1:34" ht="15.6" x14ac:dyDescent="0.3">
      <c r="A9" s="14"/>
      <c r="E9" s="20"/>
      <c r="F9" s="20"/>
      <c r="G9" s="20"/>
      <c r="H9" s="32" t="s">
        <v>5</v>
      </c>
      <c r="I9" s="24">
        <v>30</v>
      </c>
      <c r="J9" s="33">
        <v>44783</v>
      </c>
      <c r="AF9" s="8"/>
      <c r="AG9" s="9"/>
      <c r="AH9" s="10"/>
    </row>
    <row r="10" spans="1:34" ht="15.6" x14ac:dyDescent="0.3">
      <c r="A10" s="14"/>
      <c r="E10" s="20"/>
      <c r="F10" s="20"/>
      <c r="G10" s="20"/>
      <c r="H10" s="32" t="s">
        <v>6</v>
      </c>
      <c r="I10" s="24">
        <v>20</v>
      </c>
      <c r="J10" s="33">
        <v>44755</v>
      </c>
      <c r="AF10" s="5"/>
      <c r="AG10" s="6"/>
      <c r="AH10" s="7"/>
    </row>
    <row r="11" spans="1:34" ht="15.6" x14ac:dyDescent="0.3">
      <c r="A11" s="14"/>
      <c r="E11" s="20"/>
      <c r="F11" s="20"/>
      <c r="G11" s="20"/>
      <c r="H11" s="32" t="s">
        <v>6</v>
      </c>
      <c r="I11" s="24">
        <v>3</v>
      </c>
      <c r="J11" s="33">
        <v>44757</v>
      </c>
      <c r="AF11" s="8"/>
      <c r="AG11" s="9"/>
      <c r="AH11" s="10"/>
    </row>
    <row r="12" spans="1:34" ht="15.6" x14ac:dyDescent="0.3">
      <c r="A12" s="14"/>
      <c r="E12" s="20"/>
      <c r="F12" s="20"/>
      <c r="G12" s="20"/>
      <c r="H12" s="32" t="s">
        <v>6</v>
      </c>
      <c r="I12" s="24">
        <v>4</v>
      </c>
      <c r="J12" s="33">
        <v>44759</v>
      </c>
      <c r="AF12" s="5"/>
      <c r="AG12" s="6"/>
      <c r="AH12" s="7"/>
    </row>
    <row r="13" spans="1:34" ht="15.6" x14ac:dyDescent="0.3">
      <c r="A13" s="14"/>
      <c r="E13" s="20"/>
      <c r="F13" s="20"/>
      <c r="G13" s="20"/>
      <c r="H13" s="32" t="s">
        <v>6</v>
      </c>
      <c r="I13" s="24">
        <v>20</v>
      </c>
      <c r="J13" s="33">
        <v>44762</v>
      </c>
      <c r="AF13" s="8"/>
      <c r="AG13" s="9"/>
      <c r="AH13" s="10"/>
    </row>
    <row r="14" spans="1:34" ht="15" x14ac:dyDescent="0.3">
      <c r="E14" s="20"/>
      <c r="F14" s="20"/>
      <c r="G14" s="20"/>
      <c r="H14" s="37" t="s">
        <v>7</v>
      </c>
      <c r="I14" s="38">
        <v>400</v>
      </c>
      <c r="J14" s="39">
        <v>44785</v>
      </c>
      <c r="AF14" s="5"/>
      <c r="AG14" s="6"/>
      <c r="AH14" s="7"/>
    </row>
    <row r="15" spans="1:34" ht="18" x14ac:dyDescent="0.3">
      <c r="B15" s="21"/>
      <c r="C15" s="22"/>
      <c r="D15" s="23"/>
      <c r="E15" s="20"/>
      <c r="F15" s="20"/>
      <c r="G15" s="20"/>
      <c r="AF15" s="8"/>
      <c r="AG15" s="9"/>
      <c r="AH15" s="10"/>
    </row>
    <row r="16" spans="1:34" x14ac:dyDescent="0.3">
      <c r="AF16" s="5"/>
      <c r="AG16" s="6"/>
      <c r="AH16" s="7"/>
    </row>
    <row r="17" spans="2:34" x14ac:dyDescent="0.3">
      <c r="AF17" s="8"/>
      <c r="AG17" s="9"/>
      <c r="AH17" s="10"/>
    </row>
    <row r="18" spans="2:34" x14ac:dyDescent="0.3">
      <c r="AF18" s="5"/>
      <c r="AG18" s="6"/>
      <c r="AH18" s="7"/>
    </row>
    <row r="19" spans="2:34" x14ac:dyDescent="0.3">
      <c r="AF19" s="8"/>
      <c r="AG19" s="9"/>
      <c r="AH19" s="10"/>
    </row>
    <row r="20" spans="2:34" x14ac:dyDescent="0.3">
      <c r="AF20" s="5"/>
      <c r="AG20" s="6"/>
      <c r="AH20" s="7"/>
    </row>
    <row r="21" spans="2:34" x14ac:dyDescent="0.3">
      <c r="AF21" s="11"/>
      <c r="AG21" s="12"/>
      <c r="AH21" s="13"/>
    </row>
    <row r="22" spans="2:34" ht="18" x14ac:dyDescent="0.3">
      <c r="B22" s="19"/>
      <c r="C22" s="16"/>
      <c r="D22" s="16"/>
      <c r="E22" s="16"/>
      <c r="F22" s="16"/>
      <c r="G22" s="16"/>
      <c r="H22" s="16"/>
      <c r="I22" s="16"/>
      <c r="J22" s="16"/>
      <c r="K22" s="16"/>
      <c r="N22" s="26"/>
      <c r="O22" s="27"/>
      <c r="P22" s="26"/>
    </row>
    <row r="23" spans="2:34" x14ac:dyDescent="0.3">
      <c r="E23" s="1"/>
      <c r="P23" s="1"/>
    </row>
    <row r="24" spans="2:34" x14ac:dyDescent="0.3">
      <c r="E24" s="1"/>
      <c r="P24" s="1"/>
    </row>
    <row r="25" spans="2:34" x14ac:dyDescent="0.3">
      <c r="E25" s="1"/>
      <c r="P25" s="1"/>
    </row>
    <row r="26" spans="2:34" x14ac:dyDescent="0.3">
      <c r="E26" s="1"/>
    </row>
    <row r="27" spans="2:34" x14ac:dyDescent="0.3">
      <c r="N27" s="26"/>
      <c r="O27" s="26"/>
      <c r="P27" s="26"/>
    </row>
    <row r="28" spans="2:34" ht="18" x14ac:dyDescent="0.3">
      <c r="B28" s="19"/>
      <c r="C28" s="16"/>
      <c r="D28" s="16"/>
      <c r="E28" s="16"/>
      <c r="F28" s="16"/>
      <c r="G28" s="16"/>
      <c r="H28" s="16"/>
      <c r="I28" s="16"/>
      <c r="J28" s="16"/>
      <c r="K28" s="16"/>
      <c r="P28" s="1"/>
    </row>
    <row r="29" spans="2:34" x14ac:dyDescent="0.3">
      <c r="E29" s="1"/>
      <c r="P29" s="1"/>
    </row>
    <row r="30" spans="2:34" x14ac:dyDescent="0.3">
      <c r="E30" s="1"/>
      <c r="P30" s="1"/>
    </row>
    <row r="31" spans="2:34" x14ac:dyDescent="0.3">
      <c r="E31" s="1"/>
    </row>
    <row r="32" spans="2:34" x14ac:dyDescent="0.3">
      <c r="E32" s="1"/>
    </row>
    <row r="34" spans="2:11" ht="18" x14ac:dyDescent="0.3">
      <c r="B34" s="19"/>
      <c r="C34" s="16"/>
      <c r="D34" s="16"/>
      <c r="E34" s="16"/>
      <c r="F34" s="16"/>
      <c r="G34" s="16"/>
      <c r="H34" s="16"/>
      <c r="I34" s="16"/>
      <c r="J34" s="16"/>
      <c r="K34" s="16"/>
    </row>
    <row r="35" spans="2:11" x14ac:dyDescent="0.3">
      <c r="E35" s="1"/>
    </row>
    <row r="36" spans="2:11" x14ac:dyDescent="0.3">
      <c r="E36" s="1"/>
    </row>
    <row r="37" spans="2:11" x14ac:dyDescent="0.3">
      <c r="E37" s="1"/>
    </row>
    <row r="38" spans="2:11" x14ac:dyDescent="0.3">
      <c r="E38" s="1"/>
    </row>
    <row r="40" spans="2:11" x14ac:dyDescent="0.3">
      <c r="E40" s="1"/>
    </row>
    <row r="42" spans="2:11" ht="18" x14ac:dyDescent="0.3">
      <c r="B42" s="19"/>
      <c r="C42" s="16"/>
      <c r="D42" s="16"/>
      <c r="E42" s="16"/>
      <c r="F42" s="16"/>
      <c r="G42" s="16"/>
      <c r="H42" s="16"/>
      <c r="I42" s="16"/>
      <c r="J42" s="16"/>
      <c r="K42" s="16"/>
    </row>
    <row r="43" spans="2:11" x14ac:dyDescent="0.3">
      <c r="E43" s="1"/>
    </row>
    <row r="44" spans="2:11" x14ac:dyDescent="0.3">
      <c r="E44" s="1"/>
    </row>
    <row r="45" spans="2:11" x14ac:dyDescent="0.3">
      <c r="E45" s="1"/>
    </row>
    <row r="46" spans="2:11" x14ac:dyDescent="0.3">
      <c r="E46" s="1"/>
    </row>
  </sheetData>
  <mergeCells count="2">
    <mergeCell ref="B1:F1"/>
    <mergeCell ref="H1:J1"/>
  </mergeCells>
  <dataValidations count="1">
    <dataValidation type="list" allowBlank="1" showInputMessage="1" showErrorMessage="1" sqref="B21" xr:uid="{A2A54CAC-AB29-4083-AA16-7F6A8D5BDFC7}">
      <formula1>#REF!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3E3CB-0273-42E6-876D-A0A094C094EB}">
  <sheetPr codeName="Trang_tính1">
    <tabColor theme="9"/>
  </sheetPr>
  <dimension ref="B3:Q25"/>
  <sheetViews>
    <sheetView showGridLines="0" tabSelected="1" topLeftCell="A2" zoomScale="70" zoomScaleNormal="70" workbookViewId="0">
      <selection activeCell="B10" sqref="B10"/>
    </sheetView>
  </sheetViews>
  <sheetFormatPr defaultColWidth="9.109375" defaultRowHeight="14.4" x14ac:dyDescent="0.3"/>
  <cols>
    <col min="1" max="1" width="9.109375" style="40"/>
    <col min="2" max="2" width="27.6640625" style="40" customWidth="1"/>
    <col min="3" max="3" width="15.6640625" style="40" bestFit="1" customWidth="1"/>
    <col min="4" max="4" width="14.88671875" style="40" bestFit="1" customWidth="1"/>
    <col min="5" max="5" width="13.44140625" style="40" bestFit="1" customWidth="1"/>
    <col min="6" max="6" width="15.88671875" style="40" bestFit="1" customWidth="1"/>
    <col min="7" max="7" width="12.44140625" style="40" customWidth="1"/>
    <col min="8" max="9" width="9.109375" style="40" customWidth="1"/>
    <col min="10" max="10" width="11" style="40" customWidth="1"/>
    <col min="11" max="11" width="32.109375" style="40" customWidth="1"/>
    <col min="12" max="13" width="9.109375" style="40"/>
    <col min="14" max="14" width="6.88671875" style="40" customWidth="1"/>
    <col min="15" max="15" width="12.33203125" style="40" bestFit="1" customWidth="1"/>
    <col min="16" max="16" width="33.88671875" style="40" customWidth="1"/>
    <col min="17" max="17" width="21.109375" style="40" bestFit="1" customWidth="1"/>
    <col min="18" max="16384" width="9.109375" style="40"/>
  </cols>
  <sheetData>
    <row r="3" spans="2:17" ht="25.8" x14ac:dyDescent="0.3">
      <c r="B3" s="67" t="s">
        <v>22</v>
      </c>
      <c r="C3" s="73" t="s">
        <v>4</v>
      </c>
    </row>
    <row r="4" spans="2:17" ht="93.6" x14ac:dyDescent="0.3">
      <c r="C4" s="58">
        <v>44754</v>
      </c>
      <c r="D4" s="56" t="s">
        <v>0</v>
      </c>
      <c r="E4" s="56" t="s">
        <v>1</v>
      </c>
      <c r="F4" s="56" t="s">
        <v>2</v>
      </c>
      <c r="G4" s="56" t="s">
        <v>29</v>
      </c>
      <c r="H4" s="56" t="s">
        <v>28</v>
      </c>
      <c r="I4" s="56" t="s">
        <v>27</v>
      </c>
      <c r="J4" s="56" t="s">
        <v>8</v>
      </c>
      <c r="K4" s="57" t="s">
        <v>26</v>
      </c>
      <c r="L4" s="56" t="s">
        <v>9</v>
      </c>
      <c r="O4" s="63" t="s">
        <v>10</v>
      </c>
      <c r="P4" s="63" t="s">
        <v>21</v>
      </c>
      <c r="Q4" s="63" t="s">
        <v>12</v>
      </c>
    </row>
    <row r="5" spans="2:17" ht="15.6" x14ac:dyDescent="0.25">
      <c r="C5" s="59"/>
      <c r="D5" s="60" t="str" cm="1">
        <f t="array" ref="D5:F6">_xlfn._xlws.FILTER(Table3[],Table3[Nguyên liệu]=C3)</f>
        <v>A2</v>
      </c>
      <c r="E5" s="60">
        <v>10</v>
      </c>
      <c r="F5" s="61">
        <v>44754</v>
      </c>
      <c r="G5" s="60" cm="1">
        <f t="array" ref="G5">_xlfn._xlws.FILTER(Table1[12-Jul-2022],Table1[Nguyên liệu]=$C$3)</f>
        <v>10</v>
      </c>
      <c r="H5" s="60">
        <f>IF(F5=C4,E5,0)</f>
        <v>10</v>
      </c>
      <c r="I5" s="60">
        <f>IF(F5=$C$4,0,E5)</f>
        <v>0</v>
      </c>
      <c r="J5" s="60">
        <f>IF(SUM(I5:I$5)&lt;=$G$5,I5,$G$5-SUM(J4:J$4))</f>
        <v>0</v>
      </c>
      <c r="K5" s="62">
        <f>IF(I5-J5&gt;=0,I5-J5,0)</f>
        <v>0</v>
      </c>
      <c r="L5" s="60">
        <f>IF(G5&lt;SUM(I5:I8),0,G5-SUM(I5:I8))</f>
        <v>0</v>
      </c>
      <c r="O5" s="64" t="str" cm="1">
        <f t="array" ref="O5:Q5">_xlfn._xlws.FILTER(D5:F8,H5:H8&lt;&gt;0," ")</f>
        <v>A2</v>
      </c>
      <c r="P5" s="64">
        <v>10</v>
      </c>
      <c r="Q5" s="65">
        <v>44754</v>
      </c>
    </row>
    <row r="6" spans="2:17" ht="15.6" x14ac:dyDescent="0.25">
      <c r="C6" s="59"/>
      <c r="D6" s="60" t="str">
        <v>A2</v>
      </c>
      <c r="E6" s="60">
        <v>30</v>
      </c>
      <c r="F6" s="61">
        <v>44756</v>
      </c>
      <c r="G6" s="60"/>
      <c r="H6" s="60">
        <f>IF(F6=C5,E6,0)</f>
        <v>0</v>
      </c>
      <c r="I6" s="60">
        <f>IF(F6=$C$4,0,E6)</f>
        <v>30</v>
      </c>
      <c r="J6" s="60">
        <f>IF(SUM(I$5:I6)&lt;=$G$5,I6,$G$5-SUM(J$4:J5))</f>
        <v>10</v>
      </c>
      <c r="K6" s="62">
        <f>IF(I6-J6&gt;=0,I6-J6,0)</f>
        <v>20</v>
      </c>
      <c r="L6" s="60"/>
      <c r="O6" s="64" t="str" cm="1">
        <f t="array" ref="O6">_xlfn._xlws.FILTER(D11:F14,H11:H14&lt;&gt;0," ")</f>
        <v xml:space="preserve"> </v>
      </c>
      <c r="P6" s="64"/>
      <c r="Q6" s="65"/>
    </row>
    <row r="7" spans="2:17" ht="15.6" x14ac:dyDescent="0.25">
      <c r="C7" s="59"/>
      <c r="D7" s="60"/>
      <c r="E7" s="60"/>
      <c r="F7" s="61"/>
      <c r="G7" s="60"/>
      <c r="H7" s="60">
        <f>IF(F7=C6,E7,0)</f>
        <v>0</v>
      </c>
      <c r="I7" s="60">
        <f>IF(F7=$C$4,0,E7)</f>
        <v>0</v>
      </c>
      <c r="J7" s="60">
        <f>IF(SUM(I$5:I7)&lt;=$G$5,I7,$G$5-SUM(J$4:J6))</f>
        <v>0</v>
      </c>
      <c r="K7" s="62">
        <f>IF(I7-J7&gt;=0,I7-J7,0)</f>
        <v>0</v>
      </c>
      <c r="L7" s="60"/>
      <c r="O7" s="64" t="str" cm="1">
        <f t="array" ref="O7:Q7">_xlfn._xlws.FILTER(D17:F20,H17:H20&lt;&gt;0," ")</f>
        <v>A2</v>
      </c>
      <c r="P7" s="64">
        <v>18</v>
      </c>
      <c r="Q7" s="65">
        <v>44756</v>
      </c>
    </row>
    <row r="8" spans="2:17" ht="15.6" x14ac:dyDescent="0.25">
      <c r="C8" s="59"/>
      <c r="D8" s="60"/>
      <c r="E8" s="60"/>
      <c r="F8" s="61"/>
      <c r="G8" s="60"/>
      <c r="H8" s="60">
        <f>IF(F8=C7,E8,0)</f>
        <v>0</v>
      </c>
      <c r="I8" s="60">
        <f>IF(F8=$C$4,0,E8)</f>
        <v>0</v>
      </c>
      <c r="J8" s="60">
        <f>IF(SUM(I$5:I8)&lt;=$G$5,I8,$G$5-SUM(J$4:J7))</f>
        <v>0</v>
      </c>
      <c r="K8" s="62">
        <f>IF(I8-J8&gt;=0,I8-J8,0)</f>
        <v>0</v>
      </c>
      <c r="L8" s="60"/>
      <c r="O8" s="66"/>
      <c r="P8" s="66"/>
      <c r="Q8" s="66"/>
    </row>
    <row r="9" spans="2:17" ht="15.6" x14ac:dyDescent="0.3">
      <c r="C9" s="59"/>
      <c r="D9" s="59"/>
      <c r="E9" s="59"/>
      <c r="F9" s="59"/>
      <c r="G9" s="59"/>
      <c r="H9" s="59"/>
      <c r="I9" s="59"/>
      <c r="J9" s="59"/>
      <c r="K9" s="59"/>
      <c r="L9" s="59"/>
      <c r="O9" s="66"/>
      <c r="P9" s="66"/>
      <c r="Q9" s="66"/>
    </row>
    <row r="10" spans="2:17" ht="93.6" x14ac:dyDescent="0.3">
      <c r="C10" s="58">
        <v>44755</v>
      </c>
      <c r="D10" s="56" t="s">
        <v>0</v>
      </c>
      <c r="E10" s="56" t="s">
        <v>1</v>
      </c>
      <c r="F10" s="56" t="s">
        <v>2</v>
      </c>
      <c r="G10" s="56" t="s">
        <v>29</v>
      </c>
      <c r="H10" s="56" t="s">
        <v>28</v>
      </c>
      <c r="I10" s="56" t="s">
        <v>27</v>
      </c>
      <c r="J10" s="56" t="s">
        <v>8</v>
      </c>
      <c r="K10" s="57" t="s">
        <v>26</v>
      </c>
      <c r="L10" s="56" t="s">
        <v>9</v>
      </c>
      <c r="O10" s="63" t="s">
        <v>10</v>
      </c>
      <c r="P10" s="63" t="s">
        <v>20</v>
      </c>
      <c r="Q10" s="63" t="s">
        <v>13</v>
      </c>
    </row>
    <row r="11" spans="2:17" ht="15.6" x14ac:dyDescent="0.25">
      <c r="C11" s="68"/>
      <c r="D11" s="60" t="str">
        <f>$C$3</f>
        <v>A2</v>
      </c>
      <c r="E11" s="60" cm="1">
        <f t="array" ref="E11:E14">_xlfn._xlws.FILTER(Table4[Tồn kho sau khi sử dụng],D11=D5)</f>
        <v>0</v>
      </c>
      <c r="F11" s="61" cm="1">
        <f t="array" ref="F11:F12">_xlfn._xlws.FILTER(Table3[Hạn sử dụng],D11=Table3[Nguyên liệu])</f>
        <v>44754</v>
      </c>
      <c r="G11" s="60" cm="1">
        <f t="array" ref="G11">_xlfn._xlws.FILTER(Table1[13-Jul-2022],Table1[Nguyên liệu]=$C$3)</f>
        <v>2</v>
      </c>
      <c r="H11" s="60">
        <f>IF(F11=C10,E11,0)</f>
        <v>0</v>
      </c>
      <c r="I11" s="60">
        <f>IF(F11=$C$10,0,E11)</f>
        <v>0</v>
      </c>
      <c r="J11" s="60">
        <f>IF(SUM(I11:I$11)&lt;=$G$11,I11,$G$11-SUM(J10:J$10))</f>
        <v>0</v>
      </c>
      <c r="K11" s="62">
        <f>IF(I11-J11&gt;=0,I11-J11,0)</f>
        <v>0</v>
      </c>
      <c r="L11" s="60">
        <f>IF(G11&lt;SUM(I11:I14),0,G11-SUM(I11:I14))</f>
        <v>0</v>
      </c>
      <c r="O11" s="64" t="str">
        <f>IF(L5&lt;&gt;0,D5," ")</f>
        <v xml:space="preserve"> </v>
      </c>
      <c r="P11" s="64" t="str">
        <f>IF(L5&lt;&gt;0,L5," ")</f>
        <v xml:space="preserve"> </v>
      </c>
      <c r="Q11" s="65" t="str">
        <f>IF(L5&lt;&gt;0,C4," ")</f>
        <v xml:space="preserve"> </v>
      </c>
    </row>
    <row r="12" spans="2:17" ht="15.6" x14ac:dyDescent="0.25">
      <c r="C12" s="68"/>
      <c r="D12" s="60" t="str">
        <f t="shared" ref="D12:D14" si="0">$C$3</f>
        <v>A2</v>
      </c>
      <c r="E12" s="60">
        <v>20</v>
      </c>
      <c r="F12" s="61">
        <v>44756</v>
      </c>
      <c r="G12" s="60"/>
      <c r="H12" s="60">
        <f>IF(F12=C11,E12,0)</f>
        <v>0</v>
      </c>
      <c r="I12" s="60">
        <f>IF(F12=$C$10,0,E12)</f>
        <v>20</v>
      </c>
      <c r="J12" s="60">
        <f>IF(SUM(I$11:I12)&lt;=$G$11,I12,$G$11-SUM(J$10:J11))</f>
        <v>2</v>
      </c>
      <c r="K12" s="62">
        <f>IF(I12-J12&gt;=0,I12-J12,0)</f>
        <v>18</v>
      </c>
      <c r="L12" s="60"/>
      <c r="O12" s="64" t="str">
        <f>IF(L11&lt;&gt;0,D11," ")</f>
        <v xml:space="preserve"> </v>
      </c>
      <c r="P12" s="64" t="str">
        <f>IF(L11&lt;&gt;0,L11," ")</f>
        <v xml:space="preserve"> </v>
      </c>
      <c r="Q12" s="65" t="str">
        <f>IF(L11&lt;&gt;0,C10," ")</f>
        <v xml:space="preserve"> </v>
      </c>
    </row>
    <row r="13" spans="2:17" ht="15.6" x14ac:dyDescent="0.25">
      <c r="C13" s="68"/>
      <c r="D13" s="60" t="str">
        <f t="shared" si="0"/>
        <v>A2</v>
      </c>
      <c r="E13" s="60">
        <v>0</v>
      </c>
      <c r="F13" s="61"/>
      <c r="G13" s="60"/>
      <c r="H13" s="60">
        <f>IF(F13=C12,E13,0)</f>
        <v>0</v>
      </c>
      <c r="I13" s="60">
        <f>IF(F13=$C$10,0,E13)</f>
        <v>0</v>
      </c>
      <c r="J13" s="60">
        <f>IF(SUM(I$11:I13)&lt;=$G$11,I13,$G$11-SUM(J$10:J12))</f>
        <v>0</v>
      </c>
      <c r="K13" s="62">
        <f>IF(I13-J13&gt;=0,I13-J13,0)</f>
        <v>0</v>
      </c>
      <c r="L13" s="60"/>
      <c r="O13" s="64" t="str">
        <f>IF(L17&lt;&gt;0,D17," ")</f>
        <v>A2</v>
      </c>
      <c r="P13" s="64">
        <f>IF(L17&lt;&gt;0,L17," ")</f>
        <v>14</v>
      </c>
      <c r="Q13" s="65">
        <f>IF(L17&lt;&gt;0,C16," ")</f>
        <v>44756</v>
      </c>
    </row>
    <row r="14" spans="2:17" ht="15" x14ac:dyDescent="0.25">
      <c r="C14" s="68"/>
      <c r="D14" s="60" t="str">
        <f t="shared" si="0"/>
        <v>A2</v>
      </c>
      <c r="E14" s="60">
        <v>0</v>
      </c>
      <c r="F14" s="61"/>
      <c r="G14" s="60"/>
      <c r="H14" s="60">
        <f>IF(F14=C13,E14,0)</f>
        <v>0</v>
      </c>
      <c r="I14" s="60">
        <f>IF(F14=$C$10,0,E14)</f>
        <v>0</v>
      </c>
      <c r="J14" s="60">
        <f>IF(SUM(I$11:I14)&lt;=$G$11,I14,$G$11-SUM(J$10:J13))</f>
        <v>0</v>
      </c>
      <c r="K14" s="62">
        <f>IF(I14-J14&gt;=0,I14-J14,0)</f>
        <v>0</v>
      </c>
      <c r="L14" s="60"/>
    </row>
    <row r="15" spans="2:17" ht="15" x14ac:dyDescent="0.3">
      <c r="C15" s="59"/>
      <c r="D15" s="59"/>
      <c r="E15" s="59"/>
      <c r="F15" s="59"/>
      <c r="G15" s="59"/>
      <c r="H15" s="59"/>
      <c r="I15" s="59"/>
      <c r="J15" s="59"/>
      <c r="K15" s="59"/>
      <c r="L15" s="59"/>
    </row>
    <row r="16" spans="2:17" ht="93.6" x14ac:dyDescent="0.3">
      <c r="C16" s="58">
        <v>44756</v>
      </c>
      <c r="D16" s="56" t="s">
        <v>0</v>
      </c>
      <c r="E16" s="56" t="s">
        <v>1</v>
      </c>
      <c r="F16" s="56" t="s">
        <v>2</v>
      </c>
      <c r="G16" s="56" t="s">
        <v>29</v>
      </c>
      <c r="H16" s="56" t="s">
        <v>28</v>
      </c>
      <c r="I16" s="56" t="s">
        <v>27</v>
      </c>
      <c r="J16" s="56" t="s">
        <v>8</v>
      </c>
      <c r="K16" s="57" t="s">
        <v>26</v>
      </c>
      <c r="L16" s="56" t="s">
        <v>9</v>
      </c>
      <c r="P16" s="41"/>
      <c r="Q16" s="41"/>
    </row>
    <row r="17" spans="3:17" ht="15.6" x14ac:dyDescent="0.3">
      <c r="C17" s="68"/>
      <c r="D17" s="60" t="str">
        <f>$C$3</f>
        <v>A2</v>
      </c>
      <c r="E17" s="60" cm="1">
        <f t="array" ref="E17:E20">_xlfn._xlws.FILTER(Table5[Tồn kho sau khi sử dụng],D17=D11)</f>
        <v>0</v>
      </c>
      <c r="F17" s="61" cm="1">
        <f t="array" ref="F17:F18">_xlfn._xlws.FILTER(Table3[Hạn sử dụng],D17=Table3[Nguyên liệu])</f>
        <v>44754</v>
      </c>
      <c r="G17" s="60" cm="1">
        <f t="array" ref="G17">_xlfn._xlws.FILTER(Table1[14-Jul-2022],Table1[Nguyên liệu]=$C$3)</f>
        <v>14</v>
      </c>
      <c r="H17" s="60">
        <f>IF(F17=C16,E17,0)</f>
        <v>0</v>
      </c>
      <c r="I17" s="60">
        <f>IF(F17=$C$16,0,E17)</f>
        <v>0</v>
      </c>
      <c r="J17" s="60">
        <f>IF(SUM(I17:I$17)&lt;=$G$17,I17,$G$17-SUM(J16:J$16))</f>
        <v>0</v>
      </c>
      <c r="K17" s="62">
        <f>IF(I17-J17&gt;=0,I17-J17,0)</f>
        <v>0</v>
      </c>
      <c r="L17" s="60">
        <f>IF(G17&lt;SUM(I17:I20),0,G17-SUM(I17:I20))</f>
        <v>14</v>
      </c>
      <c r="P17" s="41"/>
      <c r="Q17" s="41"/>
    </row>
    <row r="18" spans="3:17" ht="15.6" x14ac:dyDescent="0.3">
      <c r="C18" s="68"/>
      <c r="D18" s="60" t="str">
        <f t="shared" ref="D18:D20" si="1">$C$3</f>
        <v>A2</v>
      </c>
      <c r="E18" s="60">
        <v>18</v>
      </c>
      <c r="F18" s="61">
        <v>44756</v>
      </c>
      <c r="G18" s="60"/>
      <c r="H18" s="60">
        <f>IF(F18=C16,E18,0)</f>
        <v>18</v>
      </c>
      <c r="I18" s="60">
        <f>IF(F18=$C$16,0,E18)</f>
        <v>0</v>
      </c>
      <c r="J18" s="60">
        <f>IF(SUM(I$17:I18)&lt;=$G$17,I18,$G$17-SUM(J$16:J17))</f>
        <v>0</v>
      </c>
      <c r="K18" s="62">
        <f>IF(I18-J18&gt;=0,I18-J18,0)</f>
        <v>0</v>
      </c>
      <c r="L18" s="60"/>
      <c r="P18" s="41"/>
      <c r="Q18" s="41"/>
    </row>
    <row r="19" spans="3:17" ht="15.6" x14ac:dyDescent="0.3">
      <c r="C19" s="68"/>
      <c r="D19" s="60" t="str">
        <f t="shared" si="1"/>
        <v>A2</v>
      </c>
      <c r="E19" s="60">
        <v>0</v>
      </c>
      <c r="F19" s="61"/>
      <c r="G19" s="60"/>
      <c r="H19" s="60">
        <f>IF(F19=C18,E19,0)</f>
        <v>0</v>
      </c>
      <c r="I19" s="60">
        <f>IF(F19=$C$16,0,E19)</f>
        <v>0</v>
      </c>
      <c r="J19" s="60">
        <f>IF(SUM(I$17:I19)&lt;=$G$17,I19,$G$17-SUM(J$16:J18))</f>
        <v>0</v>
      </c>
      <c r="K19" s="62">
        <f>IF(I19-J19&gt;=0,I19-J19,0)</f>
        <v>0</v>
      </c>
      <c r="L19" s="60"/>
      <c r="P19" s="41"/>
      <c r="Q19" s="41"/>
    </row>
    <row r="20" spans="3:17" ht="15.6" x14ac:dyDescent="0.3">
      <c r="C20" s="68"/>
      <c r="D20" s="60" t="str">
        <f t="shared" si="1"/>
        <v>A2</v>
      </c>
      <c r="E20" s="60">
        <v>0</v>
      </c>
      <c r="F20" s="61"/>
      <c r="G20" s="60"/>
      <c r="H20" s="60">
        <f>IF(F20=C19,E20,0)</f>
        <v>0</v>
      </c>
      <c r="I20" s="60">
        <f>IF(F20=$C$16,0,E20)</f>
        <v>0</v>
      </c>
      <c r="J20" s="60">
        <f>IF(SUM(I$17:I20)&lt;=$G$17,I20,$G$17-SUM(J$16:J19))</f>
        <v>0</v>
      </c>
      <c r="K20" s="62">
        <f>IF(I20-J20&gt;=0,I20-J20,0)</f>
        <v>0</v>
      </c>
      <c r="L20" s="60"/>
      <c r="P20" s="41"/>
    </row>
    <row r="21" spans="3:17" x14ac:dyDescent="0.3">
      <c r="P21" s="41"/>
    </row>
    <row r="22" spans="3:17" x14ac:dyDescent="0.3">
      <c r="P22" s="41"/>
    </row>
    <row r="23" spans="3:17" x14ac:dyDescent="0.3">
      <c r="P23" s="41"/>
    </row>
    <row r="24" spans="3:17" x14ac:dyDescent="0.3">
      <c r="P24" s="41"/>
    </row>
    <row r="25" spans="3:17" x14ac:dyDescent="0.3">
      <c r="P25" s="41"/>
    </row>
  </sheetData>
  <pageMargins left="0.7" right="0.7" top="0.75" bottom="0.75" header="0.3" footer="0.3"/>
  <pageSetup orientation="portrait" horizontalDpi="300" verticalDpi="300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91C1B6-D7EC-4CDB-897D-6E4FFF24E737}">
          <x14:formula1>
            <xm:f>'Given Data'!$C$3:$C$7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CB030-457C-4AF2-9936-CD4E7FCDED7E}">
  <sheetPr codeName="Trang_tính3">
    <tabColor rgb="FFFF0000"/>
  </sheetPr>
  <dimension ref="C2:E5"/>
  <sheetViews>
    <sheetView showGridLines="0" zoomScaleNormal="100" workbookViewId="0">
      <selection activeCell="E16" sqref="E16"/>
    </sheetView>
  </sheetViews>
  <sheetFormatPr defaultRowHeight="14.4" x14ac:dyDescent="0.3"/>
  <cols>
    <col min="3" max="3" width="14.109375" customWidth="1"/>
    <col min="4" max="4" width="21.6640625" customWidth="1"/>
    <col min="5" max="5" width="21.44140625" style="1" customWidth="1"/>
  </cols>
  <sheetData>
    <row r="2" spans="3:5" x14ac:dyDescent="0.3">
      <c r="C2" s="69" t="s">
        <v>10</v>
      </c>
      <c r="D2" s="69" t="s">
        <v>25</v>
      </c>
      <c r="E2" s="70" t="s">
        <v>13</v>
      </c>
    </row>
    <row r="3" spans="3:5" x14ac:dyDescent="0.3">
      <c r="C3" s="25" t="s">
        <v>4</v>
      </c>
      <c r="D3" s="25">
        <v>10</v>
      </c>
      <c r="E3" s="45">
        <v>44754</v>
      </c>
    </row>
    <row r="4" spans="3:5" x14ac:dyDescent="0.3">
      <c r="C4" s="25" t="s">
        <v>4</v>
      </c>
      <c r="D4" s="25">
        <v>18</v>
      </c>
      <c r="E4" s="45">
        <v>44756</v>
      </c>
    </row>
    <row r="5" spans="3:5" x14ac:dyDescent="0.3">
      <c r="C5" s="25" t="s">
        <v>6</v>
      </c>
      <c r="D5" s="25">
        <v>5</v>
      </c>
      <c r="E5" s="45">
        <v>44755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5488-09D9-4C7D-8D0C-66FBE610C1C1}">
  <sheetPr codeName="Trang_tính2">
    <tabColor theme="5"/>
  </sheetPr>
  <dimension ref="C2:E4"/>
  <sheetViews>
    <sheetView showGridLines="0" workbookViewId="0">
      <selection activeCell="C15" sqref="C15:E17"/>
    </sheetView>
  </sheetViews>
  <sheetFormatPr defaultRowHeight="14.4" x14ac:dyDescent="0.3"/>
  <cols>
    <col min="2" max="2" width="14.109375" customWidth="1"/>
    <col min="3" max="3" width="20.5546875" customWidth="1"/>
    <col min="4" max="4" width="23.44140625" customWidth="1"/>
    <col min="5" max="5" width="15.88671875" style="1" customWidth="1"/>
  </cols>
  <sheetData>
    <row r="2" spans="3:5" x14ac:dyDescent="0.3">
      <c r="C2" s="71" t="s">
        <v>10</v>
      </c>
      <c r="D2" s="71" t="s">
        <v>11</v>
      </c>
      <c r="E2" s="72" t="s">
        <v>12</v>
      </c>
    </row>
    <row r="3" spans="3:5" x14ac:dyDescent="0.3">
      <c r="C3" s="25" t="s">
        <v>4</v>
      </c>
      <c r="D3" s="25">
        <v>14</v>
      </c>
      <c r="E3" s="45">
        <v>44756</v>
      </c>
    </row>
    <row r="4" spans="3:5" x14ac:dyDescent="0.3">
      <c r="C4" s="25" t="s">
        <v>5</v>
      </c>
      <c r="D4" s="25">
        <v>6</v>
      </c>
      <c r="E4" s="45">
        <v>44756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8C718BA2D54A42BFAEBBCCBD46C312" ma:contentTypeVersion="4" ma:contentTypeDescription="Create a new document." ma:contentTypeScope="" ma:versionID="ea39d188338de51282755f064e0d0414">
  <xsd:schema xmlns:xsd="http://www.w3.org/2001/XMLSchema" xmlns:xs="http://www.w3.org/2001/XMLSchema" xmlns:p="http://schemas.microsoft.com/office/2006/metadata/properties" xmlns:ns3="ed25507f-7986-4095-994c-03f01fd0d15f" targetNamespace="http://schemas.microsoft.com/office/2006/metadata/properties" ma:root="true" ma:fieldsID="227ee25eb0859dfd108f9df0d54a58f0" ns3:_="">
    <xsd:import namespace="ed25507f-7986-4095-994c-03f01fd0d15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25507f-7986-4095-994c-03f01fd0d1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051C4D-3D62-4E00-9D8E-0DA4BEBF4F1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BFFDEEF-162B-4637-9786-5B6611A59E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25507f-7986-4095-994c-03f01fd0d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F884B7-C9D2-4D35-A010-E2453F8223A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38F3C1A-00A3-49B1-8BA2-E251ADECFA89}">
  <ds:schemaRefs>
    <ds:schemaRef ds:uri="ed25507f-7986-4095-994c-03f01fd0d15f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4</vt:i4>
      </vt:variant>
    </vt:vector>
  </HeadingPairs>
  <TitlesOfParts>
    <vt:vector size="4" baseType="lpstr">
      <vt:lpstr>Given Data</vt:lpstr>
      <vt:lpstr>Calculate</vt:lpstr>
      <vt:lpstr>hang_thieu</vt:lpstr>
      <vt:lpstr>hang_huy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Gia Ngo</cp:lastModifiedBy>
  <dcterms:created xsi:type="dcterms:W3CDTF">2022-10-09T19:48:46Z</dcterms:created>
  <dcterms:modified xsi:type="dcterms:W3CDTF">2023-05-10T16:15:10Z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0x0101000A8C718BA2D54A42BFAEBBCCBD46C312</vt:lpwstr>
  </property>
</Properties>
</file>